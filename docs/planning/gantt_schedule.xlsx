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do\Documents\PROJECTS26\CardioSaarthi\docs\planning\"/>
    </mc:Choice>
  </mc:AlternateContent>
  <xr:revisionPtr revIDLastSave="0" documentId="13_ncr:1_{A18973E0-8FAF-442E-B4CB-E90BC1968A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chedule" sheetId="1" r:id="rId1"/>
    <sheet name="Milestones" sheetId="2" r:id="rId2"/>
    <sheet name="Read 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E38" i="1"/>
  <c r="F38" i="1" s="1"/>
  <c r="D38" i="1"/>
  <c r="C38" i="1"/>
  <c r="B38" i="1"/>
  <c r="E37" i="1"/>
  <c r="F37" i="1" s="1"/>
  <c r="D37" i="1"/>
  <c r="C37" i="1"/>
  <c r="B37" i="1"/>
  <c r="E36" i="1"/>
  <c r="F36" i="1" s="1"/>
  <c r="D36" i="1"/>
  <c r="C36" i="1"/>
  <c r="B36" i="1"/>
  <c r="E35" i="1"/>
  <c r="F35" i="1" s="1"/>
  <c r="D35" i="1"/>
  <c r="C35" i="1"/>
  <c r="B35" i="1"/>
  <c r="H30" i="1"/>
  <c r="G30" i="1"/>
  <c r="E30" i="1"/>
  <c r="H29" i="1"/>
  <c r="G29" i="1"/>
  <c r="E29" i="1"/>
  <c r="H28" i="1"/>
  <c r="G28" i="1"/>
  <c r="E28" i="1"/>
  <c r="H27" i="1"/>
  <c r="G27" i="1"/>
  <c r="E27" i="1"/>
  <c r="H26" i="1"/>
  <c r="G26" i="1"/>
  <c r="E26" i="1"/>
  <c r="H25" i="1"/>
  <c r="G25" i="1"/>
  <c r="E25" i="1"/>
  <c r="H24" i="1"/>
  <c r="G24" i="1"/>
  <c r="E24" i="1"/>
  <c r="H23" i="1"/>
  <c r="G23" i="1"/>
  <c r="E23" i="1"/>
  <c r="H22" i="1"/>
  <c r="G22" i="1"/>
  <c r="E22" i="1"/>
  <c r="H21" i="1"/>
  <c r="G21" i="1"/>
  <c r="E21" i="1"/>
  <c r="H20" i="1"/>
  <c r="G20" i="1"/>
  <c r="E20" i="1"/>
  <c r="H19" i="1"/>
  <c r="G19" i="1"/>
  <c r="E19" i="1"/>
  <c r="H18" i="1"/>
  <c r="G18" i="1"/>
  <c r="E18" i="1"/>
  <c r="H17" i="1"/>
  <c r="G17" i="1"/>
  <c r="E17" i="1"/>
  <c r="H16" i="1"/>
  <c r="G16" i="1"/>
  <c r="E16" i="1"/>
  <c r="H15" i="1"/>
  <c r="G15" i="1"/>
  <c r="E15" i="1"/>
  <c r="H14" i="1"/>
  <c r="G14" i="1"/>
  <c r="E14" i="1"/>
  <c r="H13" i="1"/>
  <c r="G13" i="1"/>
  <c r="E13" i="1"/>
  <c r="H12" i="1"/>
  <c r="G12" i="1"/>
  <c r="E12" i="1"/>
  <c r="H11" i="1"/>
  <c r="G11" i="1"/>
  <c r="E11" i="1"/>
  <c r="H10" i="1"/>
  <c r="G10" i="1"/>
  <c r="E10" i="1"/>
  <c r="H9" i="1"/>
  <c r="G9" i="1"/>
  <c r="E9" i="1"/>
  <c r="C5" i="1"/>
  <c r="C6" i="1" s="1"/>
</calcChain>
</file>

<file path=xl/sharedStrings.xml><?xml version="1.0" encoding="utf-8"?>
<sst xmlns="http://schemas.openxmlformats.org/spreadsheetml/2006/main" count="131" uniqueCount="78">
  <si>
    <t>CardioSaarthi - Project Schedule</t>
  </si>
  <si>
    <t>Sixteen weeks | Semester VII, 2026-27 | AI-ECG Tutor System</t>
  </si>
  <si>
    <t>Project start (Monday of week 1)</t>
  </si>
  <si>
    <t>Yellow cells are inputs. Edit Start/End week and the bars move.</t>
  </si>
  <si>
    <t>Today</t>
  </si>
  <si>
    <t>Current week</t>
  </si>
  <si>
    <t>Phase</t>
  </si>
  <si>
    <t>Task</t>
  </si>
  <si>
    <t>Start wk</t>
  </si>
  <si>
    <t>End wk</t>
  </si>
  <si>
    <t>Weeks</t>
  </si>
  <si>
    <t>Status</t>
  </si>
  <si>
    <t>Start date</t>
  </si>
  <si>
    <t>End date</t>
  </si>
  <si>
    <t>Phase 1</t>
  </si>
  <si>
    <t>Dataset acquisition &amp; quality screening</t>
  </si>
  <si>
    <t>Done</t>
  </si>
  <si>
    <t>Measurement engine (detection, delineation, intervals)</t>
  </si>
  <si>
    <t>Standards-compliant ECG rendering</t>
  </si>
  <si>
    <t>Technical validation vs LUDB &amp; QTDB</t>
  </si>
  <si>
    <t>Clinical scenario generation (offline LLM batch)</t>
  </si>
  <si>
    <t>Not started</t>
  </si>
  <si>
    <t>Faculty review interface</t>
  </si>
  <si>
    <t>Faculty review cycles -&gt; approved case bank</t>
  </si>
  <si>
    <t>Phase 2</t>
  </si>
  <si>
    <t>Session state machine &amp; step-lock orchestration</t>
  </si>
  <si>
    <t>Deterministic grading + error taxonomy</t>
  </si>
  <si>
    <t>Knowledge base ingestion &amp; embeddings (pgvector)</t>
  </si>
  <si>
    <t>Student interface - nine-step case player</t>
  </si>
  <si>
    <t>Competency model &amp; spaced repetition</t>
  </si>
  <si>
    <t>Phase 3</t>
  </si>
  <si>
    <t>LLM wrapper + CardioSaarthi persona configuration</t>
  </si>
  <si>
    <t>RAG retrieval &amp; citation pipeline</t>
  </si>
  <si>
    <t>Output validation, fallback library, caching</t>
  </si>
  <si>
    <t>Persona fixture suite (40 error scenarios)</t>
  </si>
  <si>
    <t>Patient report explainer</t>
  </si>
  <si>
    <t>Phase 4</t>
  </si>
  <si>
    <t>Faculty analytics console</t>
  </si>
  <si>
    <t>Technical validation report (final)</t>
  </si>
  <si>
    <t>Study setup - ethics, consent, cohort scheduling</t>
  </si>
  <si>
    <t>Pre-test / post-test with nursing cohort</t>
  </si>
  <si>
    <t>Analysis, documentation &amp; final report</t>
  </si>
  <si>
    <t>PHASE SUMMARY</t>
  </si>
  <si>
    <t>Tasks</t>
  </si>
  <si>
    <t>Complete</t>
  </si>
  <si>
    <t>Critical path: faculty review throughput in weeks 5-8, not engineering.</t>
  </si>
  <si>
    <t>Milestones</t>
  </si>
  <si>
    <t>Week</t>
  </si>
  <si>
    <t>Milestone</t>
  </si>
  <si>
    <t>Date</t>
  </si>
  <si>
    <t>Engine validated against LUDB &amp; QTDB</t>
  </si>
  <si>
    <t>First faculty review session</t>
  </si>
  <si>
    <t>Planned</t>
  </si>
  <si>
    <t>60 approved cases in the bank</t>
  </si>
  <si>
    <t>Student runtime live end to end</t>
  </si>
  <si>
    <t>Layers 3 and 4 complete</t>
  </si>
  <si>
    <t>Final submission</t>
  </si>
  <si>
    <t>How to edit</t>
  </si>
  <si>
    <t>Yellow cells are the only ones to type in:</t>
  </si>
  <si>
    <t xml:space="preserve">   Schedule!C4       project start date (Monday of week 1)</t>
  </si>
  <si>
    <t xml:space="preserve">   Start wk / End wk  week numbers for each task</t>
  </si>
  <si>
    <t xml:space="preserve">   Status             Done / In progress / Not started (dropdown)</t>
  </si>
  <si>
    <t>Everything else is a formula. The Gantt bars are conditional formatting</t>
  </si>
  <si>
    <t>driven by Start wk and End wk, so editing a week number moves the bar</t>
  </si>
  <si>
    <t>immediately - there is no chart to redraw and no colour to repaint.</t>
  </si>
  <si>
    <t>Marking a task Done turns its bar from pale to solid.</t>
  </si>
  <si>
    <t>Colour</t>
  </si>
  <si>
    <t>Solid bar    delivered and validated</t>
  </si>
  <si>
    <t>Pale bar     planned</t>
  </si>
  <si>
    <t>Phase colours match the methodology diagram, so the slides read as one system.</t>
  </si>
  <si>
    <t>Status at end of week 3</t>
  </si>
  <si>
    <t>Phase 1 is 4 of 7 tasks complete. The measurement engine, the renderer and</t>
  </si>
  <si>
    <t>the technical validation are delivered. The case bank is not, because a case</t>
  </si>
  <si>
    <t>bank is not finished until faculty have approved it.</t>
  </si>
  <si>
    <t>Critical path</t>
  </si>
  <si>
    <t>Faculty review throughput in weeks 5-8, and study setup in weeks 12-14.</t>
  </si>
  <si>
    <t>Neither is a coding task. Both should be booked in advance rather than</t>
  </si>
  <si>
    <t>requested when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</si>
</sst>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 mmm\ yyyy"/>
    <numFmt numFmtId="166" formatCode="dd\ mmm"/>
  </numFmts>
  <fonts count="9" x14ac:knownFonts="1">
    <font>
      <sz val="11"/>
      <color theme="1"/>
      <name val="Calibri"/>
      <family val="2"/>
      <scheme val="minor"/>
    </font>
    <font>
      <b/>
      <sz val="16"/>
      <color rgb="FF1A1A1A"/>
      <name val="Arial"/>
    </font>
    <font>
      <sz val="10"/>
      <color rgb="FF6B7680"/>
      <name val="Arial"/>
    </font>
    <font>
      <b/>
      <sz val="10"/>
      <color rgb="FF1A1A1A"/>
      <name val="Arial"/>
    </font>
    <font>
      <sz val="9"/>
      <color rgb="FF6B7680"/>
      <name val="Arial"/>
    </font>
    <font>
      <b/>
      <sz val="9"/>
      <color rgb="FF6B7680"/>
      <name val="Arial"/>
    </font>
    <font>
      <sz val="10"/>
      <color rgb="FF1A1A1A"/>
      <name val="Arial"/>
    </font>
    <font>
      <b/>
      <sz val="14"/>
      <color rgb="FF1A1A1A"/>
      <name val="Arial"/>
    </font>
    <font>
      <b/>
      <sz val="11"/>
      <color rgb="FF1A1A1A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5" fontId="3" fillId="2" borderId="0" xfId="0" applyNumberFormat="1" applyFont="1" applyFill="1"/>
    <xf numFmtId="0" fontId="4" fillId="0" borderId="0" xfId="0" applyFont="1"/>
    <xf numFmtId="165" fontId="3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2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9" fontId="6" fillId="0" borderId="1" xfId="0" applyNumberFormat="1" applyFont="1" applyBorder="1" applyAlignment="1">
      <alignment horizontal="center"/>
    </xf>
    <xf numFmtId="0" fontId="7" fillId="0" borderId="0" xfId="0" applyFont="1"/>
    <xf numFmtId="0" fontId="6" fillId="2" borderId="1" xfId="0" applyFont="1" applyFill="1" applyBorder="1"/>
    <xf numFmtId="165" fontId="6" fillId="0" borderId="1" xfId="0" applyNumberFormat="1" applyFont="1" applyBorder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9">
    <dxf>
      <fill>
        <patternFill patternType="solid">
          <fgColor rgb="FFE2DCEC"/>
          <bgColor rgb="FFE2DCEC"/>
        </patternFill>
      </fill>
    </dxf>
    <dxf>
      <fill>
        <patternFill patternType="solid">
          <fgColor rgb="FF7B5EA7"/>
          <bgColor rgb="FF7B5EA7"/>
        </patternFill>
      </fill>
    </dxf>
    <dxf>
      <fill>
        <patternFill patternType="solid">
          <fgColor rgb="FFF8E5D1"/>
          <bgColor rgb="FFF8E5D1"/>
        </patternFill>
      </fill>
    </dxf>
    <dxf>
      <fill>
        <patternFill patternType="solid">
          <fgColor rgb="FFE08A2E"/>
          <bgColor rgb="FFE08A2E"/>
        </patternFill>
      </fill>
    </dxf>
    <dxf>
      <fill>
        <patternFill patternType="solid">
          <fgColor rgb="FFD4E6DB"/>
          <bgColor rgb="FFD4E6DB"/>
        </patternFill>
      </fill>
    </dxf>
    <dxf>
      <fill>
        <patternFill patternType="solid">
          <fgColor rgb="FF3E8E5A"/>
          <bgColor rgb="FF3E8E5A"/>
        </patternFill>
      </fill>
    </dxf>
    <dxf>
      <fill>
        <patternFill patternType="solid">
          <fgColor rgb="FFD1DCEB"/>
          <bgColor rgb="FFD1DCEB"/>
        </patternFill>
      </fill>
    </dxf>
    <dxf>
      <fill>
        <patternFill patternType="solid">
          <fgColor rgb="FF2F5FA6"/>
          <bgColor rgb="FF2F5FA6"/>
        </patternFill>
      </fill>
    </dxf>
    <dxf>
      <font>
        <b/>
        <sz val="9"/>
        <color rgb="FFB3341F"/>
        <name val="Arial"/>
      </font>
      <fill>
        <patternFill patternType="solid">
          <fgColor rgb="FFFCE1DE"/>
          <bgColor rgb="FFFCE1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showGridLines="0" tabSelected="1" zoomScale="70" zoomScaleNormal="70" workbookViewId="0">
      <pane xSplit="2" ySplit="8" topLeftCell="C12" activePane="bottomRight" state="frozen"/>
      <selection pane="topRight"/>
      <selection pane="bottomLeft"/>
      <selection pane="bottomRight" activeCell="J7" sqref="J7"/>
    </sheetView>
  </sheetViews>
  <sheetFormatPr defaultRowHeight="14.4" x14ac:dyDescent="0.3"/>
  <cols>
    <col min="1" max="1" width="10" customWidth="1"/>
    <col min="2" max="2" width="48" customWidth="1"/>
    <col min="3" max="3" width="14" customWidth="1"/>
    <col min="4" max="8" width="11" customWidth="1"/>
    <col min="9" max="24" width="4.33203125" customWidth="1"/>
  </cols>
  <sheetData>
    <row r="1" spans="1:24" ht="21" x14ac:dyDescent="0.4">
      <c r="A1" s="1" t="s">
        <v>0</v>
      </c>
    </row>
    <row r="2" spans="1:24" x14ac:dyDescent="0.3">
      <c r="A2" s="2" t="s">
        <v>1</v>
      </c>
    </row>
    <row r="4" spans="1:24" x14ac:dyDescent="0.3">
      <c r="A4" s="2" t="s">
        <v>2</v>
      </c>
      <c r="C4" s="3">
        <v>46223</v>
      </c>
      <c r="E4" s="4" t="s">
        <v>3</v>
      </c>
    </row>
    <row r="5" spans="1:24" x14ac:dyDescent="0.3">
      <c r="A5" s="2" t="s">
        <v>4</v>
      </c>
      <c r="C5" s="5">
        <f ca="1">TODAY()</f>
        <v>46250</v>
      </c>
    </row>
    <row r="6" spans="1:24" x14ac:dyDescent="0.3">
      <c r="A6" s="2" t="s">
        <v>5</v>
      </c>
      <c r="C6" s="6">
        <f ca="1">IFERROR(MAX(1,MIN(16,INT((C5-C4)/7)+1)),1)</f>
        <v>4</v>
      </c>
    </row>
    <row r="8" spans="1:24" x14ac:dyDescent="0.3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8">
        <v>1</v>
      </c>
      <c r="J8" s="8">
        <v>2</v>
      </c>
      <c r="K8" s="8">
        <v>3</v>
      </c>
      <c r="L8" s="8">
        <v>4</v>
      </c>
      <c r="M8" s="8">
        <v>5</v>
      </c>
      <c r="N8" s="8">
        <v>6</v>
      </c>
      <c r="O8" s="8">
        <v>7</v>
      </c>
      <c r="P8" s="8">
        <v>8</v>
      </c>
      <c r="Q8" s="8">
        <v>9</v>
      </c>
      <c r="R8" s="8">
        <v>10</v>
      </c>
      <c r="S8" s="8">
        <v>11</v>
      </c>
      <c r="T8" s="8">
        <v>12</v>
      </c>
      <c r="U8" s="8">
        <v>13</v>
      </c>
      <c r="V8" s="8">
        <v>14</v>
      </c>
      <c r="W8" s="8">
        <v>15</v>
      </c>
      <c r="X8" s="8">
        <v>16</v>
      </c>
    </row>
    <row r="9" spans="1:24" x14ac:dyDescent="0.3">
      <c r="A9" s="9" t="s">
        <v>14</v>
      </c>
      <c r="B9" s="10" t="s">
        <v>15</v>
      </c>
      <c r="C9" s="11">
        <v>1</v>
      </c>
      <c r="D9" s="11">
        <v>1</v>
      </c>
      <c r="E9" s="12">
        <f t="shared" ref="E9:E30" si="0">D9-C9+1</f>
        <v>1</v>
      </c>
      <c r="F9" s="11" t="s">
        <v>16</v>
      </c>
      <c r="G9" s="13">
        <f t="shared" ref="G9:G30" si="1">$C$4+(C9-1)*7</f>
        <v>46223</v>
      </c>
      <c r="H9" s="13">
        <f t="shared" ref="H9:H30" si="2">$C$4+D9*7-1</f>
        <v>46229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3">
      <c r="A10" s="9" t="s">
        <v>14</v>
      </c>
      <c r="B10" s="10" t="s">
        <v>17</v>
      </c>
      <c r="C10" s="11">
        <v>1</v>
      </c>
      <c r="D10" s="11">
        <v>3</v>
      </c>
      <c r="E10" s="12">
        <f t="shared" si="0"/>
        <v>3</v>
      </c>
      <c r="F10" s="11" t="s">
        <v>16</v>
      </c>
      <c r="G10" s="13">
        <f t="shared" si="1"/>
        <v>46223</v>
      </c>
      <c r="H10" s="13">
        <f t="shared" si="2"/>
        <v>46243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3">
      <c r="A11" s="9" t="s">
        <v>14</v>
      </c>
      <c r="B11" s="10" t="s">
        <v>18</v>
      </c>
      <c r="C11" s="11">
        <v>2</v>
      </c>
      <c r="D11" s="11">
        <v>3</v>
      </c>
      <c r="E11" s="12">
        <f t="shared" si="0"/>
        <v>2</v>
      </c>
      <c r="F11" s="11" t="s">
        <v>16</v>
      </c>
      <c r="G11" s="13">
        <f t="shared" si="1"/>
        <v>46230</v>
      </c>
      <c r="H11" s="13">
        <f t="shared" si="2"/>
        <v>46243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3">
      <c r="A12" s="9" t="s">
        <v>14</v>
      </c>
      <c r="B12" s="10" t="s">
        <v>19</v>
      </c>
      <c r="C12" s="11">
        <v>3</v>
      </c>
      <c r="D12" s="11">
        <v>3</v>
      </c>
      <c r="E12" s="12">
        <f t="shared" si="0"/>
        <v>1</v>
      </c>
      <c r="F12" s="11" t="s">
        <v>16</v>
      </c>
      <c r="G12" s="13">
        <f t="shared" si="1"/>
        <v>46237</v>
      </c>
      <c r="H12" s="13">
        <f t="shared" si="2"/>
        <v>46243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3">
      <c r="A13" s="9" t="s">
        <v>14</v>
      </c>
      <c r="B13" s="10" t="s">
        <v>20</v>
      </c>
      <c r="C13" s="11">
        <v>4</v>
      </c>
      <c r="D13" s="11">
        <v>5</v>
      </c>
      <c r="E13" s="12">
        <f t="shared" si="0"/>
        <v>2</v>
      </c>
      <c r="F13" s="11" t="s">
        <v>21</v>
      </c>
      <c r="G13" s="13">
        <f t="shared" si="1"/>
        <v>46244</v>
      </c>
      <c r="H13" s="13">
        <f t="shared" si="2"/>
        <v>46257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3">
      <c r="A14" s="9" t="s">
        <v>14</v>
      </c>
      <c r="B14" s="10" t="s">
        <v>22</v>
      </c>
      <c r="C14" s="11">
        <v>4</v>
      </c>
      <c r="D14" s="11">
        <v>5</v>
      </c>
      <c r="E14" s="12">
        <f t="shared" si="0"/>
        <v>2</v>
      </c>
      <c r="F14" s="11" t="s">
        <v>21</v>
      </c>
      <c r="G14" s="13">
        <f t="shared" si="1"/>
        <v>46244</v>
      </c>
      <c r="H14" s="13">
        <f t="shared" si="2"/>
        <v>46257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3">
      <c r="A15" s="9" t="s">
        <v>14</v>
      </c>
      <c r="B15" s="10" t="s">
        <v>23</v>
      </c>
      <c r="C15" s="11">
        <v>5</v>
      </c>
      <c r="D15" s="11">
        <v>8</v>
      </c>
      <c r="E15" s="12">
        <f t="shared" si="0"/>
        <v>4</v>
      </c>
      <c r="F15" s="11" t="s">
        <v>21</v>
      </c>
      <c r="G15" s="13">
        <f t="shared" si="1"/>
        <v>46251</v>
      </c>
      <c r="H15" s="13">
        <f t="shared" si="2"/>
        <v>46278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3">
      <c r="A16" s="9" t="s">
        <v>24</v>
      </c>
      <c r="B16" s="10" t="s">
        <v>25</v>
      </c>
      <c r="C16" s="11">
        <v>7</v>
      </c>
      <c r="D16" s="11">
        <v>7</v>
      </c>
      <c r="E16" s="12">
        <f t="shared" si="0"/>
        <v>1</v>
      </c>
      <c r="F16" s="11" t="s">
        <v>21</v>
      </c>
      <c r="G16" s="13">
        <f t="shared" si="1"/>
        <v>46265</v>
      </c>
      <c r="H16" s="13">
        <f t="shared" si="2"/>
        <v>46271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3">
      <c r="A17" s="9" t="s">
        <v>24</v>
      </c>
      <c r="B17" s="10" t="s">
        <v>26</v>
      </c>
      <c r="C17" s="11">
        <v>7</v>
      </c>
      <c r="D17" s="11">
        <v>8</v>
      </c>
      <c r="E17" s="12">
        <f t="shared" si="0"/>
        <v>2</v>
      </c>
      <c r="F17" s="11" t="s">
        <v>21</v>
      </c>
      <c r="G17" s="13">
        <f t="shared" si="1"/>
        <v>46265</v>
      </c>
      <c r="H17" s="13">
        <f t="shared" si="2"/>
        <v>46278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3">
      <c r="A18" s="9" t="s">
        <v>24</v>
      </c>
      <c r="B18" s="10" t="s">
        <v>27</v>
      </c>
      <c r="C18" s="11">
        <v>8</v>
      </c>
      <c r="D18" s="11">
        <v>8</v>
      </c>
      <c r="E18" s="12">
        <f t="shared" si="0"/>
        <v>1</v>
      </c>
      <c r="F18" s="11" t="s">
        <v>21</v>
      </c>
      <c r="G18" s="13">
        <f t="shared" si="1"/>
        <v>46272</v>
      </c>
      <c r="H18" s="13">
        <f t="shared" si="2"/>
        <v>46278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3">
      <c r="A19" s="9" t="s">
        <v>24</v>
      </c>
      <c r="B19" s="10" t="s">
        <v>28</v>
      </c>
      <c r="C19" s="11">
        <v>8</v>
      </c>
      <c r="D19" s="11">
        <v>10</v>
      </c>
      <c r="E19" s="12">
        <f t="shared" si="0"/>
        <v>3</v>
      </c>
      <c r="F19" s="11" t="s">
        <v>21</v>
      </c>
      <c r="G19" s="13">
        <f t="shared" si="1"/>
        <v>46272</v>
      </c>
      <c r="H19" s="13">
        <f t="shared" si="2"/>
        <v>46292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3">
      <c r="A20" s="9" t="s">
        <v>24</v>
      </c>
      <c r="B20" s="10" t="s">
        <v>29</v>
      </c>
      <c r="C20" s="11">
        <v>9</v>
      </c>
      <c r="D20" s="11">
        <v>10</v>
      </c>
      <c r="E20" s="12">
        <f t="shared" si="0"/>
        <v>2</v>
      </c>
      <c r="F20" s="11" t="s">
        <v>21</v>
      </c>
      <c r="G20" s="13">
        <f t="shared" si="1"/>
        <v>46279</v>
      </c>
      <c r="H20" s="13">
        <f t="shared" si="2"/>
        <v>46292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3">
      <c r="A21" s="9" t="s">
        <v>30</v>
      </c>
      <c r="B21" s="10" t="s">
        <v>31</v>
      </c>
      <c r="C21" s="11">
        <v>9</v>
      </c>
      <c r="D21" s="11">
        <v>9</v>
      </c>
      <c r="E21" s="12">
        <f t="shared" si="0"/>
        <v>1</v>
      </c>
      <c r="F21" s="11" t="s">
        <v>21</v>
      </c>
      <c r="G21" s="13">
        <f t="shared" si="1"/>
        <v>46279</v>
      </c>
      <c r="H21" s="13">
        <f t="shared" si="2"/>
        <v>46285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3">
      <c r="A22" s="9" t="s">
        <v>30</v>
      </c>
      <c r="B22" s="10" t="s">
        <v>32</v>
      </c>
      <c r="C22" s="11">
        <v>9</v>
      </c>
      <c r="D22" s="11">
        <v>10</v>
      </c>
      <c r="E22" s="12">
        <f t="shared" si="0"/>
        <v>2</v>
      </c>
      <c r="F22" s="11" t="s">
        <v>21</v>
      </c>
      <c r="G22" s="13">
        <f t="shared" si="1"/>
        <v>46279</v>
      </c>
      <c r="H22" s="13">
        <f t="shared" si="2"/>
        <v>46292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3">
      <c r="A23" s="9" t="s">
        <v>30</v>
      </c>
      <c r="B23" s="10" t="s">
        <v>33</v>
      </c>
      <c r="C23" s="11">
        <v>10</v>
      </c>
      <c r="D23" s="11">
        <v>11</v>
      </c>
      <c r="E23" s="12">
        <f t="shared" si="0"/>
        <v>2</v>
      </c>
      <c r="F23" s="11" t="s">
        <v>21</v>
      </c>
      <c r="G23" s="13">
        <f t="shared" si="1"/>
        <v>46286</v>
      </c>
      <c r="H23" s="13">
        <f t="shared" si="2"/>
        <v>46299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3">
      <c r="A24" s="9" t="s">
        <v>30</v>
      </c>
      <c r="B24" s="10" t="s">
        <v>34</v>
      </c>
      <c r="C24" s="11">
        <v>11</v>
      </c>
      <c r="D24" s="11">
        <v>11</v>
      </c>
      <c r="E24" s="12">
        <f t="shared" si="0"/>
        <v>1</v>
      </c>
      <c r="F24" s="11" t="s">
        <v>21</v>
      </c>
      <c r="G24" s="13">
        <f t="shared" si="1"/>
        <v>46293</v>
      </c>
      <c r="H24" s="13">
        <f t="shared" si="2"/>
        <v>46299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3">
      <c r="A25" s="9" t="s">
        <v>30</v>
      </c>
      <c r="B25" s="10" t="s">
        <v>35</v>
      </c>
      <c r="C25" s="11">
        <v>12</v>
      </c>
      <c r="D25" s="11">
        <v>13</v>
      </c>
      <c r="E25" s="12">
        <f t="shared" si="0"/>
        <v>2</v>
      </c>
      <c r="F25" s="11" t="s">
        <v>21</v>
      </c>
      <c r="G25" s="13">
        <f t="shared" si="1"/>
        <v>46300</v>
      </c>
      <c r="H25" s="13">
        <f t="shared" si="2"/>
        <v>46313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3">
      <c r="A26" s="9" t="s">
        <v>36</v>
      </c>
      <c r="B26" s="10" t="s">
        <v>37</v>
      </c>
      <c r="C26" s="11">
        <v>11</v>
      </c>
      <c r="D26" s="11">
        <v>12</v>
      </c>
      <c r="E26" s="12">
        <f t="shared" si="0"/>
        <v>2</v>
      </c>
      <c r="F26" s="11" t="s">
        <v>21</v>
      </c>
      <c r="G26" s="13">
        <f t="shared" si="1"/>
        <v>46293</v>
      </c>
      <c r="H26" s="13">
        <f t="shared" si="2"/>
        <v>46306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3">
      <c r="A27" s="9" t="s">
        <v>36</v>
      </c>
      <c r="B27" s="10" t="s">
        <v>38</v>
      </c>
      <c r="C27" s="11">
        <v>13</v>
      </c>
      <c r="D27" s="11">
        <v>13</v>
      </c>
      <c r="E27" s="12">
        <f t="shared" si="0"/>
        <v>1</v>
      </c>
      <c r="F27" s="11" t="s">
        <v>21</v>
      </c>
      <c r="G27" s="13">
        <f t="shared" si="1"/>
        <v>46307</v>
      </c>
      <c r="H27" s="13">
        <f t="shared" si="2"/>
        <v>46313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3">
      <c r="A28" s="9" t="s">
        <v>36</v>
      </c>
      <c r="B28" s="10" t="s">
        <v>39</v>
      </c>
      <c r="C28" s="11">
        <v>12</v>
      </c>
      <c r="D28" s="11">
        <v>14</v>
      </c>
      <c r="E28" s="12">
        <f t="shared" si="0"/>
        <v>3</v>
      </c>
      <c r="F28" s="11" t="s">
        <v>21</v>
      </c>
      <c r="G28" s="13">
        <f t="shared" si="1"/>
        <v>46300</v>
      </c>
      <c r="H28" s="13">
        <f t="shared" si="2"/>
        <v>46320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3">
      <c r="A29" s="9" t="s">
        <v>36</v>
      </c>
      <c r="B29" s="10" t="s">
        <v>40</v>
      </c>
      <c r="C29" s="11">
        <v>14</v>
      </c>
      <c r="D29" s="11">
        <v>15</v>
      </c>
      <c r="E29" s="12">
        <f t="shared" si="0"/>
        <v>2</v>
      </c>
      <c r="F29" s="11" t="s">
        <v>21</v>
      </c>
      <c r="G29" s="13">
        <f t="shared" si="1"/>
        <v>46314</v>
      </c>
      <c r="H29" s="13">
        <f t="shared" si="2"/>
        <v>46327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3">
      <c r="A30" s="9" t="s">
        <v>36</v>
      </c>
      <c r="B30" s="10" t="s">
        <v>41</v>
      </c>
      <c r="C30" s="11">
        <v>15</v>
      </c>
      <c r="D30" s="11">
        <v>16</v>
      </c>
      <c r="E30" s="12">
        <f t="shared" si="0"/>
        <v>2</v>
      </c>
      <c r="F30" s="11" t="s">
        <v>21</v>
      </c>
      <c r="G30" s="13">
        <f t="shared" si="1"/>
        <v>46321</v>
      </c>
      <c r="H30" s="13">
        <f t="shared" si="2"/>
        <v>46334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3" spans="1:6" x14ac:dyDescent="0.3">
      <c r="A33" s="6" t="s">
        <v>42</v>
      </c>
    </row>
    <row r="34" spans="1:6" x14ac:dyDescent="0.3">
      <c r="A34" s="15" t="s">
        <v>6</v>
      </c>
      <c r="B34" s="15" t="s">
        <v>8</v>
      </c>
      <c r="C34" s="15" t="s">
        <v>9</v>
      </c>
      <c r="D34" s="15" t="s">
        <v>43</v>
      </c>
      <c r="E34" s="15" t="s">
        <v>16</v>
      </c>
      <c r="F34" s="15" t="s">
        <v>44</v>
      </c>
    </row>
    <row r="35" spans="1:6" x14ac:dyDescent="0.3">
      <c r="A35" s="10" t="s">
        <v>14</v>
      </c>
      <c r="B35" s="12">
        <f>SUMPRODUCT(MIN(($A$9:$A$30="Phase 1")*$C$9:$C$30+($A$9:$A$30&lt;&gt;"Phase 1")*9999))</f>
        <v>1</v>
      </c>
      <c r="C35" s="12">
        <f>SUMPRODUCT(MAX(($A$9:$A$30="Phase 1")*$D$9:$D$30))</f>
        <v>8</v>
      </c>
      <c r="D35" s="12">
        <f>COUNTIFS($A$9:$A$30,"Phase 1")</f>
        <v>7</v>
      </c>
      <c r="E35" s="12">
        <f>COUNTIFS($A$9:$A$30,"Phase 1",$F$9:$F$30,"Done")</f>
        <v>4</v>
      </c>
      <c r="F35" s="16">
        <f>IFERROR(E35/D35,0)</f>
        <v>0.5714285714285714</v>
      </c>
    </row>
    <row r="36" spans="1:6" x14ac:dyDescent="0.3">
      <c r="A36" s="10" t="s">
        <v>24</v>
      </c>
      <c r="B36" s="12">
        <f>SUMPRODUCT(MIN(($A$9:$A$30="Phase 2")*$C$9:$C$30+($A$9:$A$30&lt;&gt;"Phase 2")*9999))</f>
        <v>7</v>
      </c>
      <c r="C36" s="12">
        <f>SUMPRODUCT(MAX(($A$9:$A$30="Phase 2")*$D$9:$D$30))</f>
        <v>10</v>
      </c>
      <c r="D36" s="12">
        <f>COUNTIFS($A$9:$A$30,"Phase 2")</f>
        <v>5</v>
      </c>
      <c r="E36" s="12">
        <f>COUNTIFS($A$9:$A$30,"Phase 2",$F$9:$F$30,"Done")</f>
        <v>0</v>
      </c>
      <c r="F36" s="16">
        <f>IFERROR(E36/D36,0)</f>
        <v>0</v>
      </c>
    </row>
    <row r="37" spans="1:6" x14ac:dyDescent="0.3">
      <c r="A37" s="10" t="s">
        <v>30</v>
      </c>
      <c r="B37" s="12">
        <f>SUMPRODUCT(MIN(($A$9:$A$30="Phase 3")*$C$9:$C$30+($A$9:$A$30&lt;&gt;"Phase 3")*9999))</f>
        <v>9</v>
      </c>
      <c r="C37" s="12">
        <f>SUMPRODUCT(MAX(($A$9:$A$30="Phase 3")*$D$9:$D$30))</f>
        <v>13</v>
      </c>
      <c r="D37" s="12">
        <f>COUNTIFS($A$9:$A$30,"Phase 3")</f>
        <v>5</v>
      </c>
      <c r="E37" s="12">
        <f>COUNTIFS($A$9:$A$30,"Phase 3",$F$9:$F$30,"Done")</f>
        <v>0</v>
      </c>
      <c r="F37" s="16">
        <f>IFERROR(E37/D37,0)</f>
        <v>0</v>
      </c>
    </row>
    <row r="38" spans="1:6" x14ac:dyDescent="0.3">
      <c r="A38" s="10" t="s">
        <v>36</v>
      </c>
      <c r="B38" s="12">
        <f>SUMPRODUCT(MIN(($A$9:$A$30="Phase 4")*$C$9:$C$30+($A$9:$A$30&lt;&gt;"Phase 4")*9999))</f>
        <v>11</v>
      </c>
      <c r="C38" s="12">
        <f>SUMPRODUCT(MAX(($A$9:$A$30="Phase 4")*$D$9:$D$30))</f>
        <v>16</v>
      </c>
      <c r="D38" s="12">
        <f>COUNTIFS($A$9:$A$30,"Phase 4")</f>
        <v>5</v>
      </c>
      <c r="E38" s="12">
        <f>COUNTIFS($A$9:$A$30,"Phase 4",$F$9:$F$30,"Done")</f>
        <v>0</v>
      </c>
      <c r="F38" s="16">
        <f>IFERROR(E38/D38,0)</f>
        <v>0</v>
      </c>
    </row>
    <row r="40" spans="1:6" x14ac:dyDescent="0.3">
      <c r="A40" s="4" t="s">
        <v>45</v>
      </c>
    </row>
  </sheetData>
  <conditionalFormatting sqref="I8:X8">
    <cfRule type="expression" dxfId="8" priority="9">
      <formula>I$8=$C$6</formula>
    </cfRule>
  </conditionalFormatting>
  <conditionalFormatting sqref="I9:X15">
    <cfRule type="expression" dxfId="7" priority="1" stopIfTrue="1">
      <formula>AND(AND(I$8&gt;=$C9,I$8&lt;=$D9),$F9="Done")</formula>
    </cfRule>
    <cfRule type="expression" dxfId="6" priority="2">
      <formula>AND(I$8&gt;=$C9,I$8&lt;=$D9)</formula>
    </cfRule>
  </conditionalFormatting>
  <conditionalFormatting sqref="I16:X20">
    <cfRule type="expression" dxfId="5" priority="3" stopIfTrue="1">
      <formula>AND(AND(I$8&gt;=$C16,I$8&lt;=$D16),$F16="Done")</formula>
    </cfRule>
    <cfRule type="expression" dxfId="4" priority="4">
      <formula>AND(I$8&gt;=$C16,I$8&lt;=$D16)</formula>
    </cfRule>
  </conditionalFormatting>
  <conditionalFormatting sqref="I21:X25">
    <cfRule type="expression" dxfId="3" priority="5" stopIfTrue="1">
      <formula>AND(AND(I$8&gt;=$C21,I$8&lt;=$D21),$F21="Done")</formula>
    </cfRule>
    <cfRule type="expression" dxfId="2" priority="6">
      <formula>AND(I$8&gt;=$C21,I$8&lt;=$D21)</formula>
    </cfRule>
  </conditionalFormatting>
  <conditionalFormatting sqref="I26:X30">
    <cfRule type="expression" dxfId="1" priority="7" stopIfTrue="1">
      <formula>AND(AND(I$8&gt;=$C26,I$8&lt;=$D26),$F26="Done")</formula>
    </cfRule>
    <cfRule type="expression" dxfId="0" priority="8">
      <formula>AND(I$8&gt;=$C26,I$8&lt;=$D26)</formula>
    </cfRule>
  </conditionalFormatting>
  <dataValidations count="1">
    <dataValidation type="list" allowBlank="1" sqref="F9:F30" xr:uid="{00000000-0002-0000-0000-000000000000}">
      <formula1>"Done,In progress,Not started"</formula1>
    </dataValidation>
  </dataValidation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/>
  </sheetViews>
  <sheetFormatPr defaultRowHeight="14.4" x14ac:dyDescent="0.3"/>
  <cols>
    <col min="1" max="1" width="8" customWidth="1"/>
    <col min="2" max="2" width="44" customWidth="1"/>
    <col min="3" max="3" width="14" customWidth="1"/>
    <col min="4" max="4" width="16" customWidth="1"/>
  </cols>
  <sheetData>
    <row r="1" spans="1:4" ht="17.399999999999999" x14ac:dyDescent="0.3">
      <c r="A1" s="17" t="s">
        <v>46</v>
      </c>
    </row>
    <row r="3" spans="1:4" x14ac:dyDescent="0.3">
      <c r="A3" s="15" t="s">
        <v>47</v>
      </c>
      <c r="B3" s="15" t="s">
        <v>48</v>
      </c>
      <c r="C3" s="15" t="s">
        <v>11</v>
      </c>
      <c r="D3" s="15" t="s">
        <v>49</v>
      </c>
    </row>
    <row r="4" spans="1:4" x14ac:dyDescent="0.3">
      <c r="A4" s="11">
        <v>3</v>
      </c>
      <c r="B4" s="10" t="s">
        <v>50</v>
      </c>
      <c r="C4" s="18" t="s">
        <v>16</v>
      </c>
      <c r="D4" s="19">
        <f>Schedule!$C$4+A4*7-1</f>
        <v>46243</v>
      </c>
    </row>
    <row r="5" spans="1:4" x14ac:dyDescent="0.3">
      <c r="A5" s="11">
        <v>4</v>
      </c>
      <c r="B5" s="10" t="s">
        <v>51</v>
      </c>
      <c r="C5" s="18" t="s">
        <v>52</v>
      </c>
      <c r="D5" s="19">
        <f>Schedule!$C$4+A5*7-1</f>
        <v>46250</v>
      </c>
    </row>
    <row r="6" spans="1:4" x14ac:dyDescent="0.3">
      <c r="A6" s="11">
        <v>8</v>
      </c>
      <c r="B6" s="10" t="s">
        <v>53</v>
      </c>
      <c r="C6" s="18" t="s">
        <v>52</v>
      </c>
      <c r="D6" s="19">
        <f>Schedule!$C$4+A6*7-1</f>
        <v>46278</v>
      </c>
    </row>
    <row r="7" spans="1:4" x14ac:dyDescent="0.3">
      <c r="A7" s="11">
        <v>10</v>
      </c>
      <c r="B7" s="10" t="s">
        <v>54</v>
      </c>
      <c r="C7" s="18" t="s">
        <v>52</v>
      </c>
      <c r="D7" s="19">
        <f>Schedule!$C$4+A7*7-1</f>
        <v>46292</v>
      </c>
    </row>
    <row r="8" spans="1:4" x14ac:dyDescent="0.3">
      <c r="A8" s="11">
        <v>13</v>
      </c>
      <c r="B8" s="10" t="s">
        <v>55</v>
      </c>
      <c r="C8" s="18" t="s">
        <v>52</v>
      </c>
      <c r="D8" s="19">
        <f>Schedule!$C$4+A8*7-1</f>
        <v>46313</v>
      </c>
    </row>
    <row r="9" spans="1:4" x14ac:dyDescent="0.3">
      <c r="A9" s="11">
        <v>16</v>
      </c>
      <c r="B9" s="10" t="s">
        <v>56</v>
      </c>
      <c r="C9" s="18" t="s">
        <v>52</v>
      </c>
      <c r="D9" s="19">
        <f>Schedule!$C$4+A9*7-1</f>
        <v>46334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showGridLines="0" workbookViewId="0"/>
  </sheetViews>
  <sheetFormatPr defaultRowHeight="14.4" x14ac:dyDescent="0.3"/>
  <cols>
    <col min="1" max="1" width="92" customWidth="1"/>
  </cols>
  <sheetData>
    <row r="1" spans="1:1" ht="17.399999999999999" x14ac:dyDescent="0.3">
      <c r="A1" s="17" t="s">
        <v>0</v>
      </c>
    </row>
    <row r="2" spans="1:1" x14ac:dyDescent="0.3">
      <c r="A2" s="20"/>
    </row>
    <row r="3" spans="1:1" x14ac:dyDescent="0.3">
      <c r="A3" s="21" t="s">
        <v>57</v>
      </c>
    </row>
    <row r="4" spans="1:1" x14ac:dyDescent="0.3">
      <c r="A4" s="20" t="s">
        <v>58</v>
      </c>
    </row>
    <row r="5" spans="1:1" x14ac:dyDescent="0.3">
      <c r="A5" s="2" t="s">
        <v>59</v>
      </c>
    </row>
    <row r="6" spans="1:1" x14ac:dyDescent="0.3">
      <c r="A6" s="2" t="s">
        <v>60</v>
      </c>
    </row>
    <row r="7" spans="1:1" x14ac:dyDescent="0.3">
      <c r="A7" s="2" t="s">
        <v>61</v>
      </c>
    </row>
    <row r="8" spans="1:1" x14ac:dyDescent="0.3">
      <c r="A8" s="20"/>
    </row>
    <row r="9" spans="1:1" x14ac:dyDescent="0.3">
      <c r="A9" s="2" t="s">
        <v>62</v>
      </c>
    </row>
    <row r="10" spans="1:1" x14ac:dyDescent="0.3">
      <c r="A10" s="2" t="s">
        <v>63</v>
      </c>
    </row>
    <row r="11" spans="1:1" x14ac:dyDescent="0.3">
      <c r="A11" s="2" t="s">
        <v>64</v>
      </c>
    </row>
    <row r="12" spans="1:1" x14ac:dyDescent="0.3">
      <c r="A12" s="2" t="s">
        <v>65</v>
      </c>
    </row>
    <row r="13" spans="1:1" x14ac:dyDescent="0.3">
      <c r="A13" s="20"/>
    </row>
    <row r="14" spans="1:1" x14ac:dyDescent="0.3">
      <c r="A14" s="21" t="s">
        <v>66</v>
      </c>
    </row>
    <row r="15" spans="1:1" x14ac:dyDescent="0.3">
      <c r="A15" s="2" t="s">
        <v>67</v>
      </c>
    </row>
    <row r="16" spans="1:1" x14ac:dyDescent="0.3">
      <c r="A16" s="2" t="s">
        <v>68</v>
      </c>
    </row>
    <row r="17" spans="1:1" x14ac:dyDescent="0.3">
      <c r="A17" s="2" t="s">
        <v>69</v>
      </c>
    </row>
    <row r="18" spans="1:1" x14ac:dyDescent="0.3">
      <c r="A18" s="20"/>
    </row>
    <row r="19" spans="1:1" x14ac:dyDescent="0.3">
      <c r="A19" s="21" t="s">
        <v>70</v>
      </c>
    </row>
    <row r="20" spans="1:1" x14ac:dyDescent="0.3">
      <c r="A20" s="2" t="s">
        <v>71</v>
      </c>
    </row>
    <row r="21" spans="1:1" x14ac:dyDescent="0.3">
      <c r="A21" s="2" t="s">
        <v>72</v>
      </c>
    </row>
    <row r="22" spans="1:1" x14ac:dyDescent="0.3">
      <c r="A22" s="2" t="s">
        <v>73</v>
      </c>
    </row>
    <row r="23" spans="1:1" x14ac:dyDescent="0.3">
      <c r="A23" s="20"/>
    </row>
    <row r="24" spans="1:1" x14ac:dyDescent="0.3">
      <c r="A24" s="21" t="s">
        <v>74</v>
      </c>
    </row>
    <row r="25" spans="1:1" x14ac:dyDescent="0.3">
      <c r="A25" s="2" t="s">
        <v>75</v>
      </c>
    </row>
    <row r="26" spans="1:1" x14ac:dyDescent="0.3">
      <c r="A26" s="2" t="s">
        <v>76</v>
      </c>
    </row>
    <row r="27" spans="1:1" x14ac:dyDescent="0.3">
      <c r="A27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Milestones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ThatGuy .</cp:lastModifiedBy>
  <cp:lastPrinted>2026-08-16T14:57:55Z</cp:lastPrinted>
  <dcterms:created xsi:type="dcterms:W3CDTF">2026-08-16T14:47:25Z</dcterms:created>
  <dcterms:modified xsi:type="dcterms:W3CDTF">2026-08-16T15:46:15Z</dcterms:modified>
</cp:coreProperties>
</file>